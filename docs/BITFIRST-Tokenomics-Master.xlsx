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istribution" sheetId="1" state="visible" r:id="rId1"/>
    <sheet xmlns:r="http://schemas.openxmlformats.org/officeDocument/2006/relationships" name="2. Member math" sheetId="2" state="visible" r:id="rId2"/>
    <sheet xmlns:r="http://schemas.openxmlformats.org/officeDocument/2006/relationships" name="3. Team vesting" sheetId="3" state="visible" r:id="rId3"/>
    <sheet xmlns:r="http://schemas.openxmlformats.org/officeDocument/2006/relationships" name="4. Community lock" sheetId="4" state="visible" r:id="rId4"/>
    <sheet xmlns:r="http://schemas.openxmlformats.org/officeDocument/2006/relationships" name="5. Launch read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FF0B0B0B"/>
    </font>
    <font>
      <b val="1"/>
      <sz val="13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F7D774"/>
      </patternFill>
    </fill>
  </fills>
  <borders count="2">
    <border>
      <left/>
      <right/>
      <top/>
      <bottom/>
      <diagonal/>
    </border>
    <border>
      <left style="thin">
        <color rgb="FFBFA76A"/>
      </left>
      <right style="thin">
        <color rgb="FFBFA76A"/>
      </right>
      <top style="thin">
        <color rgb="FFBFA76A"/>
      </top>
      <bottom style="thin">
        <color rgb="FFBFA76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8" customWidth="1" min="4" max="4"/>
    <col width="62" customWidth="1" min="5" max="5"/>
  </cols>
  <sheetData>
    <row r="1">
      <c r="A1" s="1" t="inlineStr">
        <is>
          <t>BITFIRST (¥) — Token Distribution</t>
        </is>
      </c>
    </row>
    <row r="2">
      <c r="A2" t="inlineStr">
        <is>
          <t>Total supply (fixed, immutable): 369,000,000 | Chain: BNB Smart Chain (BEP-20) | Decimals: 18</t>
        </is>
      </c>
    </row>
    <row r="4">
      <c r="A4" s="2" t="inlineStr">
        <is>
          <t>Bucket</t>
        </is>
      </c>
      <c r="B4" s="2" t="inlineStr">
        <is>
          <t>% of supply</t>
        </is>
      </c>
      <c r="C4" s="2" t="inlineStr">
        <is>
          <t>Tokens</t>
        </is>
      </c>
      <c r="D4" s="2" t="inlineStr">
        <is>
          <t>Lock at launch</t>
        </is>
      </c>
      <c r="E4" s="2" t="inlineStr">
        <is>
          <t>Release rule</t>
        </is>
      </c>
    </row>
    <row r="5">
      <c r="A5" t="inlineStr">
        <is>
          <t>Community</t>
        </is>
      </c>
      <c r="B5" t="n">
        <v>50</v>
      </c>
      <c r="C5" t="n">
        <v>184500000</v>
      </c>
      <c r="D5" t="inlineStr">
        <is>
          <t>LOCKED 180 days</t>
        </is>
      </c>
      <c r="E5" t="inlineStr">
        <is>
          <t>After day 180: released ONLY with owner approval (OwnerReleaseVault). Per-member ledger, wallet linked later.</t>
        </is>
      </c>
    </row>
    <row r="6">
      <c r="A6" t="inlineStr">
        <is>
          <t>Liquidity</t>
        </is>
      </c>
      <c r="B6" t="n">
        <v>10</v>
      </c>
      <c r="C6" t="n">
        <v>36900000</v>
      </c>
      <c r="D6" t="inlineStr">
        <is>
          <t>Unlocked</t>
        </is>
      </c>
      <c r="E6" t="inlineStr">
        <is>
          <t>Goes into the PancakeSwap pool (needs to be liquid to trade).</t>
        </is>
      </c>
    </row>
    <row r="7">
      <c r="A7" t="inlineStr">
        <is>
          <t>Team</t>
        </is>
      </c>
      <c r="B7" t="n">
        <v>10</v>
      </c>
      <c r="C7" t="n">
        <v>36900000</v>
      </c>
      <c r="D7" t="inlineStr">
        <is>
          <t>LOCKED 365 days</t>
        </is>
      </c>
      <c r="E7" t="inlineStr">
        <is>
          <t>After day 365: 369,000 tokens every 10 days, 100 releases, ends day 1355.</t>
        </is>
      </c>
    </row>
    <row r="8">
      <c r="A8" t="inlineStr">
        <is>
          <t>Development</t>
        </is>
      </c>
      <c r="B8" t="n">
        <v>10</v>
      </c>
      <c r="C8" t="n">
        <v>36900000</v>
      </c>
      <c r="D8" t="inlineStr">
        <is>
          <t>Unlocked</t>
        </is>
      </c>
      <c r="E8" t="inlineStr">
        <is>
          <t>Owner-held; discipline: no early selling.</t>
        </is>
      </c>
    </row>
    <row r="9">
      <c r="A9" t="inlineStr">
        <is>
          <t>Charity</t>
        </is>
      </c>
      <c r="B9" t="n">
        <v>10</v>
      </c>
      <c r="C9" t="n">
        <v>36900000</v>
      </c>
      <c r="D9" t="inlineStr">
        <is>
          <t>Unlocked</t>
        </is>
      </c>
      <c r="E9" t="inlineStr">
        <is>
          <t>Charity wallet; guidance to holders: do not sell before 6 months.</t>
        </is>
      </c>
    </row>
    <row r="10">
      <c r="A10" t="inlineStr">
        <is>
          <t>School (poor children)</t>
        </is>
      </c>
      <c r="B10" t="n">
        <v>10</v>
      </c>
      <c r="C10" t="n">
        <v>36900000</v>
      </c>
      <c r="D10" t="inlineStr">
        <is>
          <t>Unlocked</t>
        </is>
      </c>
      <c r="E10" t="inlineStr">
        <is>
          <t>School wallet; guidance to holders: do not sell before 6 months.</t>
        </is>
      </c>
    </row>
    <row r="11">
      <c r="A11" t="inlineStr">
        <is>
          <t>TOTAL</t>
        </is>
      </c>
      <c r="B11" t="n">
        <v>100</v>
      </c>
      <c r="C11" t="n">
        <v>369000000</v>
      </c>
      <c r="D11" t="inlineStr"/>
      <c r="E11" t="inlineStr"/>
    </row>
    <row r="13">
      <c r="A13" t="inlineStr">
        <is>
          <t>Locked at launch</t>
        </is>
      </c>
      <c r="B13" t="inlineStr">
        <is>
          <t>60%</t>
        </is>
      </c>
      <c r="C13" t="n">
        <v>221400000</v>
      </c>
    </row>
    <row r="14">
      <c r="A14" t="inlineStr">
        <is>
          <t>Liquid at launch</t>
        </is>
      </c>
      <c r="B14" t="inlineStr">
        <is>
          <t>40%</t>
        </is>
      </c>
      <c r="C14" t="n">
        <v>147600000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3" t="inlineStr">
        <is>
          <t>Community allocation → members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t="inlineStr">
        <is>
          <t>Community allocation (50%)</t>
        </is>
      </c>
      <c r="B4" t="n">
        <v>184500000</v>
      </c>
    </row>
    <row r="5">
      <c r="A5" t="inlineStr">
        <is>
          <t>Tokens per member</t>
        </is>
      </c>
      <c r="B5" t="n">
        <v>3690</v>
      </c>
    </row>
    <row r="6">
      <c r="A6" t="inlineStr">
        <is>
          <t>Number of members covered</t>
        </is>
      </c>
      <c r="B6" t="n">
        <v>50000</v>
      </c>
    </row>
    <row r="7">
      <c r="A7" t="inlineStr">
        <is>
          <t>Check: 50,000 x 3,690</t>
        </is>
      </c>
      <c r="B7" t="n">
        <v>184500000</v>
      </c>
    </row>
    <row r="8">
      <c r="A8" t="inlineStr">
        <is>
          <t>Members the app shows in 'Space left'</t>
        </is>
      </c>
      <c r="B8" t="n">
        <v>184500000</v>
      </c>
    </row>
    <row r="9">
      <c r="A9" t="inlineStr">
        <is>
          <t>Token number series</t>
        </is>
      </c>
      <c r="B9" t="inlineStr">
        <is>
          <t>1 ... 50,000</t>
        </is>
      </c>
    </row>
    <row r="10">
      <c r="A10" t="inlineStr">
        <is>
          <t>Owner / admin number</t>
        </is>
      </c>
      <c r="B10" t="inlineStr">
        <is>
          <t>0 (username: Owner)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6" customWidth="1" min="4" max="4"/>
    <col width="15" customWidth="1" min="5" max="5"/>
    <col width="11" customWidth="1" min="6" max="6"/>
  </cols>
  <sheetData>
    <row r="1">
      <c r="A1" s="4" t="inlineStr">
        <is>
          <t>Team vesting — 36,900,000 ¥ (10%) | 365-day cliff, then 369,000 every 10 days</t>
        </is>
      </c>
    </row>
    <row r="2">
      <c r="A2" t="inlineStr">
        <is>
          <t>Launch date (edit A3):</t>
        </is>
      </c>
    </row>
    <row r="3">
      <c r="A3" s="5" t="n">
        <v>46327</v>
      </c>
    </row>
    <row r="5">
      <c r="A5" s="2" t="inlineStr">
        <is>
          <t>Release #</t>
        </is>
      </c>
      <c r="B5" s="2" t="inlineStr">
        <is>
          <t>Day after launch</t>
        </is>
      </c>
      <c r="C5" s="2" t="inlineStr">
        <is>
          <t>Date</t>
        </is>
      </c>
      <c r="D5" s="2" t="inlineStr">
        <is>
          <t>Tokens released</t>
        </is>
      </c>
      <c r="E5" s="2" t="inlineStr">
        <is>
          <t>Cumulative</t>
        </is>
      </c>
      <c r="F5" s="2" t="inlineStr">
        <is>
          <t>% of team</t>
        </is>
      </c>
    </row>
    <row r="6">
      <c r="A6" t="n">
        <v>1</v>
      </c>
      <c r="B6" t="n">
        <v>365</v>
      </c>
      <c r="C6" s="5">
        <f>IF($A$3="","-",$A$3+B6)</f>
        <v/>
      </c>
      <c r="D6" t="n">
        <v>369000</v>
      </c>
      <c r="E6" t="n">
        <v>369000</v>
      </c>
      <c r="F6" s="6" t="n">
        <v>0.01</v>
      </c>
    </row>
    <row r="7">
      <c r="A7" t="n">
        <v>2</v>
      </c>
      <c r="B7" t="n">
        <v>375</v>
      </c>
      <c r="C7" s="5">
        <f>IF($A$3="","-",$A$3+B7)</f>
        <v/>
      </c>
      <c r="D7" t="n">
        <v>369000</v>
      </c>
      <c r="E7" t="n">
        <v>738000</v>
      </c>
      <c r="F7" s="6" t="n">
        <v>0.02</v>
      </c>
    </row>
    <row r="8">
      <c r="A8" t="n">
        <v>3</v>
      </c>
      <c r="B8" t="n">
        <v>385</v>
      </c>
      <c r="C8" s="5">
        <f>IF($A$3="","-",$A$3+B8)</f>
        <v/>
      </c>
      <c r="D8" t="n">
        <v>369000</v>
      </c>
      <c r="E8" t="n">
        <v>1107000</v>
      </c>
      <c r="F8" s="6" t="n">
        <v>0.03</v>
      </c>
    </row>
    <row r="9">
      <c r="A9" t="n">
        <v>4</v>
      </c>
      <c r="B9" t="n">
        <v>395</v>
      </c>
      <c r="C9" s="5">
        <f>IF($A$3="","-",$A$3+B9)</f>
        <v/>
      </c>
      <c r="D9" t="n">
        <v>369000</v>
      </c>
      <c r="E9" t="n">
        <v>1476000</v>
      </c>
      <c r="F9" s="6" t="n">
        <v>0.04</v>
      </c>
    </row>
    <row r="10">
      <c r="A10" t="n">
        <v>5</v>
      </c>
      <c r="B10" t="n">
        <v>405</v>
      </c>
      <c r="C10" s="5">
        <f>IF($A$3="","-",$A$3+B10)</f>
        <v/>
      </c>
      <c r="D10" t="n">
        <v>369000</v>
      </c>
      <c r="E10" t="n">
        <v>1845000</v>
      </c>
      <c r="F10" s="6" t="n">
        <v>0.05</v>
      </c>
    </row>
    <row r="11">
      <c r="A11" t="n">
        <v>6</v>
      </c>
      <c r="B11" t="n">
        <v>415</v>
      </c>
      <c r="C11" s="5">
        <f>IF($A$3="","-",$A$3+B11)</f>
        <v/>
      </c>
      <c r="D11" t="n">
        <v>369000</v>
      </c>
      <c r="E11" t="n">
        <v>2214000</v>
      </c>
      <c r="F11" s="6" t="n">
        <v>0.06</v>
      </c>
    </row>
    <row r="12">
      <c r="A12" t="n">
        <v>7</v>
      </c>
      <c r="B12" t="n">
        <v>425</v>
      </c>
      <c r="C12" s="5">
        <f>IF($A$3="","-",$A$3+B12)</f>
        <v/>
      </c>
      <c r="D12" t="n">
        <v>369000</v>
      </c>
      <c r="E12" t="n">
        <v>2583000</v>
      </c>
      <c r="F12" s="6" t="n">
        <v>0.07000000000000001</v>
      </c>
    </row>
    <row r="13">
      <c r="A13" t="n">
        <v>8</v>
      </c>
      <c r="B13" t="n">
        <v>435</v>
      </c>
      <c r="C13" s="5">
        <f>IF($A$3="","-",$A$3+B13)</f>
        <v/>
      </c>
      <c r="D13" t="n">
        <v>369000</v>
      </c>
      <c r="E13" t="n">
        <v>2952000</v>
      </c>
      <c r="F13" s="6" t="n">
        <v>0.08</v>
      </c>
    </row>
    <row r="14">
      <c r="A14" t="n">
        <v>9</v>
      </c>
      <c r="B14" t="n">
        <v>445</v>
      </c>
      <c r="C14" s="5">
        <f>IF($A$3="","-",$A$3+B14)</f>
        <v/>
      </c>
      <c r="D14" t="n">
        <v>369000</v>
      </c>
      <c r="E14" t="n">
        <v>3321000</v>
      </c>
      <c r="F14" s="6" t="n">
        <v>0.09</v>
      </c>
    </row>
    <row r="15">
      <c r="A15" t="n">
        <v>10</v>
      </c>
      <c r="B15" t="n">
        <v>455</v>
      </c>
      <c r="C15" s="5">
        <f>IF($A$3="","-",$A$3+B15)</f>
        <v/>
      </c>
      <c r="D15" t="n">
        <v>369000</v>
      </c>
      <c r="E15" t="n">
        <v>3690000</v>
      </c>
      <c r="F15" s="6" t="n">
        <v>0.1</v>
      </c>
    </row>
    <row r="16">
      <c r="A16" t="n">
        <v>11</v>
      </c>
      <c r="B16" t="n">
        <v>465</v>
      </c>
      <c r="C16" s="5">
        <f>IF($A$3="","-",$A$3+B16)</f>
        <v/>
      </c>
      <c r="D16" t="n">
        <v>369000</v>
      </c>
      <c r="E16" t="n">
        <v>4059000</v>
      </c>
      <c r="F16" s="6" t="n">
        <v>0.11</v>
      </c>
    </row>
    <row r="17">
      <c r="A17" t="n">
        <v>12</v>
      </c>
      <c r="B17" t="n">
        <v>475</v>
      </c>
      <c r="C17" s="5">
        <f>IF($A$3="","-",$A$3+B17)</f>
        <v/>
      </c>
      <c r="D17" t="n">
        <v>369000</v>
      </c>
      <c r="E17" t="n">
        <v>4428000</v>
      </c>
      <c r="F17" s="6" t="n">
        <v>0.12</v>
      </c>
    </row>
    <row r="18">
      <c r="A18" t="n">
        <v>13</v>
      </c>
      <c r="B18" t="n">
        <v>485</v>
      </c>
      <c r="C18" s="5">
        <f>IF($A$3="","-",$A$3+B18)</f>
        <v/>
      </c>
      <c r="D18" t="n">
        <v>369000</v>
      </c>
      <c r="E18" t="n">
        <v>4797000</v>
      </c>
      <c r="F18" s="6" t="n">
        <v>0.13</v>
      </c>
    </row>
    <row r="19">
      <c r="A19" t="n">
        <v>14</v>
      </c>
      <c r="B19" t="n">
        <v>495</v>
      </c>
      <c r="C19" s="5">
        <f>IF($A$3="","-",$A$3+B19)</f>
        <v/>
      </c>
      <c r="D19" t="n">
        <v>369000</v>
      </c>
      <c r="E19" t="n">
        <v>5166000</v>
      </c>
      <c r="F19" s="6" t="n">
        <v>0.14</v>
      </c>
    </row>
    <row r="20">
      <c r="A20" t="n">
        <v>15</v>
      </c>
      <c r="B20" t="n">
        <v>505</v>
      </c>
      <c r="C20" s="5">
        <f>IF($A$3="","-",$A$3+B20)</f>
        <v/>
      </c>
      <c r="D20" t="n">
        <v>369000</v>
      </c>
      <c r="E20" t="n">
        <v>5535000</v>
      </c>
      <c r="F20" s="6" t="n">
        <v>0.15</v>
      </c>
    </row>
    <row r="21">
      <c r="A21" t="n">
        <v>16</v>
      </c>
      <c r="B21" t="n">
        <v>515</v>
      </c>
      <c r="C21" s="5">
        <f>IF($A$3="","-",$A$3+B21)</f>
        <v/>
      </c>
      <c r="D21" t="n">
        <v>369000</v>
      </c>
      <c r="E21" t="n">
        <v>5904000</v>
      </c>
      <c r="F21" s="6" t="n">
        <v>0.16</v>
      </c>
    </row>
    <row r="22">
      <c r="A22" t="n">
        <v>17</v>
      </c>
      <c r="B22" t="n">
        <v>525</v>
      </c>
      <c r="C22" s="5">
        <f>IF($A$3="","-",$A$3+B22)</f>
        <v/>
      </c>
      <c r="D22" t="n">
        <v>369000</v>
      </c>
      <c r="E22" t="n">
        <v>6273000</v>
      </c>
      <c r="F22" s="6" t="n">
        <v>0.17</v>
      </c>
    </row>
    <row r="23">
      <c r="A23" t="n">
        <v>18</v>
      </c>
      <c r="B23" t="n">
        <v>535</v>
      </c>
      <c r="C23" s="5">
        <f>IF($A$3="","-",$A$3+B23)</f>
        <v/>
      </c>
      <c r="D23" t="n">
        <v>369000</v>
      </c>
      <c r="E23" t="n">
        <v>6642000</v>
      </c>
      <c r="F23" s="6" t="n">
        <v>0.18</v>
      </c>
    </row>
    <row r="24">
      <c r="A24" t="n">
        <v>19</v>
      </c>
      <c r="B24" t="n">
        <v>545</v>
      </c>
      <c r="C24" s="5">
        <f>IF($A$3="","-",$A$3+B24)</f>
        <v/>
      </c>
      <c r="D24" t="n">
        <v>369000</v>
      </c>
      <c r="E24" t="n">
        <v>7011000</v>
      </c>
      <c r="F24" s="6" t="n">
        <v>0.19</v>
      </c>
    </row>
    <row r="25">
      <c r="A25" t="n">
        <v>20</v>
      </c>
      <c r="B25" t="n">
        <v>555</v>
      </c>
      <c r="C25" s="5">
        <f>IF($A$3="","-",$A$3+B25)</f>
        <v/>
      </c>
      <c r="D25" t="n">
        <v>369000</v>
      </c>
      <c r="E25" t="n">
        <v>7380000</v>
      </c>
      <c r="F25" s="6" t="n">
        <v>0.2</v>
      </c>
    </row>
    <row r="26">
      <c r="A26" t="n">
        <v>21</v>
      </c>
      <c r="B26" t="n">
        <v>565</v>
      </c>
      <c r="C26" s="5">
        <f>IF($A$3="","-",$A$3+B26)</f>
        <v/>
      </c>
      <c r="D26" t="n">
        <v>369000</v>
      </c>
      <c r="E26" t="n">
        <v>7749000</v>
      </c>
      <c r="F26" s="6" t="n">
        <v>0.21</v>
      </c>
    </row>
    <row r="27">
      <c r="A27" t="n">
        <v>22</v>
      </c>
      <c r="B27" t="n">
        <v>575</v>
      </c>
      <c r="C27" s="5">
        <f>IF($A$3="","-",$A$3+B27)</f>
        <v/>
      </c>
      <c r="D27" t="n">
        <v>369000</v>
      </c>
      <c r="E27" t="n">
        <v>8118000</v>
      </c>
      <c r="F27" s="6" t="n">
        <v>0.22</v>
      </c>
    </row>
    <row r="28">
      <c r="A28" t="n">
        <v>23</v>
      </c>
      <c r="B28" t="n">
        <v>585</v>
      </c>
      <c r="C28" s="5">
        <f>IF($A$3="","-",$A$3+B28)</f>
        <v/>
      </c>
      <c r="D28" t="n">
        <v>369000</v>
      </c>
      <c r="E28" t="n">
        <v>8487000</v>
      </c>
      <c r="F28" s="6" t="n">
        <v>0.23</v>
      </c>
    </row>
    <row r="29">
      <c r="A29" t="n">
        <v>24</v>
      </c>
      <c r="B29" t="n">
        <v>595</v>
      </c>
      <c r="C29" s="5">
        <f>IF($A$3="","-",$A$3+B29)</f>
        <v/>
      </c>
      <c r="D29" t="n">
        <v>369000</v>
      </c>
      <c r="E29" t="n">
        <v>8856000</v>
      </c>
      <c r="F29" s="6" t="n">
        <v>0.24</v>
      </c>
    </row>
    <row r="30">
      <c r="A30" s="7" t="n">
        <v>25</v>
      </c>
      <c r="B30" s="7" t="n">
        <v>605</v>
      </c>
      <c r="C30" s="8">
        <f>IF($A$3="","-",$A$3+B30)</f>
        <v/>
      </c>
      <c r="D30" s="7" t="n">
        <v>369000</v>
      </c>
      <c r="E30" s="7" t="n">
        <v>9225000</v>
      </c>
      <c r="F30" s="9" t="n">
        <v>0.25</v>
      </c>
    </row>
    <row r="31">
      <c r="A31" t="n">
        <v>26</v>
      </c>
      <c r="B31" t="n">
        <v>615</v>
      </c>
      <c r="C31" s="5">
        <f>IF($A$3="","-",$A$3+B31)</f>
        <v/>
      </c>
      <c r="D31" t="n">
        <v>369000</v>
      </c>
      <c r="E31" t="n">
        <v>9594000</v>
      </c>
      <c r="F31" s="6" t="n">
        <v>0.26</v>
      </c>
    </row>
    <row r="32">
      <c r="A32" t="n">
        <v>27</v>
      </c>
      <c r="B32" t="n">
        <v>625</v>
      </c>
      <c r="C32" s="5">
        <f>IF($A$3="","-",$A$3+B32)</f>
        <v/>
      </c>
      <c r="D32" t="n">
        <v>369000</v>
      </c>
      <c r="E32" t="n">
        <v>9963000</v>
      </c>
      <c r="F32" s="6" t="n">
        <v>0.27</v>
      </c>
    </row>
    <row r="33">
      <c r="A33" t="n">
        <v>28</v>
      </c>
      <c r="B33" t="n">
        <v>635</v>
      </c>
      <c r="C33" s="5">
        <f>IF($A$3="","-",$A$3+B33)</f>
        <v/>
      </c>
      <c r="D33" t="n">
        <v>369000</v>
      </c>
      <c r="E33" t="n">
        <v>10332000</v>
      </c>
      <c r="F33" s="6" t="n">
        <v>0.28</v>
      </c>
    </row>
    <row r="34">
      <c r="A34" t="n">
        <v>29</v>
      </c>
      <c r="B34" t="n">
        <v>645</v>
      </c>
      <c r="C34" s="5">
        <f>IF($A$3="","-",$A$3+B34)</f>
        <v/>
      </c>
      <c r="D34" t="n">
        <v>369000</v>
      </c>
      <c r="E34" t="n">
        <v>10701000</v>
      </c>
      <c r="F34" s="6" t="n">
        <v>0.29</v>
      </c>
    </row>
    <row r="35">
      <c r="A35" t="n">
        <v>30</v>
      </c>
      <c r="B35" t="n">
        <v>655</v>
      </c>
      <c r="C35" s="5">
        <f>IF($A$3="","-",$A$3+B35)</f>
        <v/>
      </c>
      <c r="D35" t="n">
        <v>369000</v>
      </c>
      <c r="E35" t="n">
        <v>11070000</v>
      </c>
      <c r="F35" s="6" t="n">
        <v>0.3</v>
      </c>
    </row>
    <row r="36">
      <c r="A36" t="n">
        <v>31</v>
      </c>
      <c r="B36" t="n">
        <v>665</v>
      </c>
      <c r="C36" s="5">
        <f>IF($A$3="","-",$A$3+B36)</f>
        <v/>
      </c>
      <c r="D36" t="n">
        <v>369000</v>
      </c>
      <c r="E36" t="n">
        <v>11439000</v>
      </c>
      <c r="F36" s="6" t="n">
        <v>0.31</v>
      </c>
    </row>
    <row r="37">
      <c r="A37" t="n">
        <v>32</v>
      </c>
      <c r="B37" t="n">
        <v>675</v>
      </c>
      <c r="C37" s="5">
        <f>IF($A$3="","-",$A$3+B37)</f>
        <v/>
      </c>
      <c r="D37" t="n">
        <v>369000</v>
      </c>
      <c r="E37" t="n">
        <v>11808000</v>
      </c>
      <c r="F37" s="6" t="n">
        <v>0.32</v>
      </c>
    </row>
    <row r="38">
      <c r="A38" t="n">
        <v>33</v>
      </c>
      <c r="B38" t="n">
        <v>685</v>
      </c>
      <c r="C38" s="5">
        <f>IF($A$3="","-",$A$3+B38)</f>
        <v/>
      </c>
      <c r="D38" t="n">
        <v>369000</v>
      </c>
      <c r="E38" t="n">
        <v>12177000</v>
      </c>
      <c r="F38" s="6" t="n">
        <v>0.33</v>
      </c>
    </row>
    <row r="39">
      <c r="A39" t="n">
        <v>34</v>
      </c>
      <c r="B39" t="n">
        <v>695</v>
      </c>
      <c r="C39" s="5">
        <f>IF($A$3="","-",$A$3+B39)</f>
        <v/>
      </c>
      <c r="D39" t="n">
        <v>369000</v>
      </c>
      <c r="E39" t="n">
        <v>12546000</v>
      </c>
      <c r="F39" s="6" t="n">
        <v>0.34</v>
      </c>
    </row>
    <row r="40">
      <c r="A40" t="n">
        <v>35</v>
      </c>
      <c r="B40" t="n">
        <v>705</v>
      </c>
      <c r="C40" s="5">
        <f>IF($A$3="","-",$A$3+B40)</f>
        <v/>
      </c>
      <c r="D40" t="n">
        <v>369000</v>
      </c>
      <c r="E40" t="n">
        <v>12915000</v>
      </c>
      <c r="F40" s="6" t="n">
        <v>0.35</v>
      </c>
    </row>
    <row r="41">
      <c r="A41" t="n">
        <v>36</v>
      </c>
      <c r="B41" t="n">
        <v>715</v>
      </c>
      <c r="C41" s="5">
        <f>IF($A$3="","-",$A$3+B41)</f>
        <v/>
      </c>
      <c r="D41" t="n">
        <v>369000</v>
      </c>
      <c r="E41" t="n">
        <v>13284000</v>
      </c>
      <c r="F41" s="6" t="n">
        <v>0.36</v>
      </c>
    </row>
    <row r="42">
      <c r="A42" t="n">
        <v>37</v>
      </c>
      <c r="B42" t="n">
        <v>725</v>
      </c>
      <c r="C42" s="5">
        <f>IF($A$3="","-",$A$3+B42)</f>
        <v/>
      </c>
      <c r="D42" t="n">
        <v>369000</v>
      </c>
      <c r="E42" t="n">
        <v>13653000</v>
      </c>
      <c r="F42" s="6" t="n">
        <v>0.37</v>
      </c>
    </row>
    <row r="43">
      <c r="A43" t="n">
        <v>38</v>
      </c>
      <c r="B43" t="n">
        <v>735</v>
      </c>
      <c r="C43" s="5">
        <f>IF($A$3="","-",$A$3+B43)</f>
        <v/>
      </c>
      <c r="D43" t="n">
        <v>369000</v>
      </c>
      <c r="E43" t="n">
        <v>14022000</v>
      </c>
      <c r="F43" s="6" t="n">
        <v>0.38</v>
      </c>
    </row>
    <row r="44">
      <c r="A44" t="n">
        <v>39</v>
      </c>
      <c r="B44" t="n">
        <v>745</v>
      </c>
      <c r="C44" s="5">
        <f>IF($A$3="","-",$A$3+B44)</f>
        <v/>
      </c>
      <c r="D44" t="n">
        <v>369000</v>
      </c>
      <c r="E44" t="n">
        <v>14391000</v>
      </c>
      <c r="F44" s="6" t="n">
        <v>0.39</v>
      </c>
    </row>
    <row r="45">
      <c r="A45" t="n">
        <v>40</v>
      </c>
      <c r="B45" t="n">
        <v>755</v>
      </c>
      <c r="C45" s="5">
        <f>IF($A$3="","-",$A$3+B45)</f>
        <v/>
      </c>
      <c r="D45" t="n">
        <v>369000</v>
      </c>
      <c r="E45" t="n">
        <v>14760000</v>
      </c>
      <c r="F45" s="6" t="n">
        <v>0.4</v>
      </c>
    </row>
    <row r="46">
      <c r="A46" t="n">
        <v>41</v>
      </c>
      <c r="B46" t="n">
        <v>765</v>
      </c>
      <c r="C46" s="5">
        <f>IF($A$3="","-",$A$3+B46)</f>
        <v/>
      </c>
      <c r="D46" t="n">
        <v>369000</v>
      </c>
      <c r="E46" t="n">
        <v>15129000</v>
      </c>
      <c r="F46" s="6" t="n">
        <v>0.41</v>
      </c>
    </row>
    <row r="47">
      <c r="A47" t="n">
        <v>42</v>
      </c>
      <c r="B47" t="n">
        <v>775</v>
      </c>
      <c r="C47" s="5">
        <f>IF($A$3="","-",$A$3+B47)</f>
        <v/>
      </c>
      <c r="D47" t="n">
        <v>369000</v>
      </c>
      <c r="E47" t="n">
        <v>15498000</v>
      </c>
      <c r="F47" s="6" t="n">
        <v>0.42</v>
      </c>
    </row>
    <row r="48">
      <c r="A48" t="n">
        <v>43</v>
      </c>
      <c r="B48" t="n">
        <v>785</v>
      </c>
      <c r="C48" s="5">
        <f>IF($A$3="","-",$A$3+B48)</f>
        <v/>
      </c>
      <c r="D48" t="n">
        <v>369000</v>
      </c>
      <c r="E48" t="n">
        <v>15867000</v>
      </c>
      <c r="F48" s="6" t="n">
        <v>0.43</v>
      </c>
    </row>
    <row r="49">
      <c r="A49" t="n">
        <v>44</v>
      </c>
      <c r="B49" t="n">
        <v>795</v>
      </c>
      <c r="C49" s="5">
        <f>IF($A$3="","-",$A$3+B49)</f>
        <v/>
      </c>
      <c r="D49" t="n">
        <v>369000</v>
      </c>
      <c r="E49" t="n">
        <v>16236000</v>
      </c>
      <c r="F49" s="6" t="n">
        <v>0.44</v>
      </c>
    </row>
    <row r="50">
      <c r="A50" t="n">
        <v>45</v>
      </c>
      <c r="B50" t="n">
        <v>805</v>
      </c>
      <c r="C50" s="5">
        <f>IF($A$3="","-",$A$3+B50)</f>
        <v/>
      </c>
      <c r="D50" t="n">
        <v>369000</v>
      </c>
      <c r="E50" t="n">
        <v>16605000</v>
      </c>
      <c r="F50" s="6" t="n">
        <v>0.45</v>
      </c>
    </row>
    <row r="51">
      <c r="A51" t="n">
        <v>46</v>
      </c>
      <c r="B51" t="n">
        <v>815</v>
      </c>
      <c r="C51" s="5">
        <f>IF($A$3="","-",$A$3+B51)</f>
        <v/>
      </c>
      <c r="D51" t="n">
        <v>369000</v>
      </c>
      <c r="E51" t="n">
        <v>16974000</v>
      </c>
      <c r="F51" s="6" t="n">
        <v>0.46</v>
      </c>
    </row>
    <row r="52">
      <c r="A52" t="n">
        <v>47</v>
      </c>
      <c r="B52" t="n">
        <v>825</v>
      </c>
      <c r="C52" s="5">
        <f>IF($A$3="","-",$A$3+B52)</f>
        <v/>
      </c>
      <c r="D52" t="n">
        <v>369000</v>
      </c>
      <c r="E52" t="n">
        <v>17343000</v>
      </c>
      <c r="F52" s="6" t="n">
        <v>0.47</v>
      </c>
    </row>
    <row r="53">
      <c r="A53" t="n">
        <v>48</v>
      </c>
      <c r="B53" t="n">
        <v>835</v>
      </c>
      <c r="C53" s="5">
        <f>IF($A$3="","-",$A$3+B53)</f>
        <v/>
      </c>
      <c r="D53" t="n">
        <v>369000</v>
      </c>
      <c r="E53" t="n">
        <v>17712000</v>
      </c>
      <c r="F53" s="6" t="n">
        <v>0.48</v>
      </c>
    </row>
    <row r="54">
      <c r="A54" t="n">
        <v>49</v>
      </c>
      <c r="B54" t="n">
        <v>845</v>
      </c>
      <c r="C54" s="5">
        <f>IF($A$3="","-",$A$3+B54)</f>
        <v/>
      </c>
      <c r="D54" t="n">
        <v>369000</v>
      </c>
      <c r="E54" t="n">
        <v>18081000</v>
      </c>
      <c r="F54" s="6" t="n">
        <v>0.49</v>
      </c>
    </row>
    <row r="55">
      <c r="A55" s="7" t="n">
        <v>50</v>
      </c>
      <c r="B55" s="7" t="n">
        <v>855</v>
      </c>
      <c r="C55" s="8">
        <f>IF($A$3="","-",$A$3+B55)</f>
        <v/>
      </c>
      <c r="D55" s="7" t="n">
        <v>369000</v>
      </c>
      <c r="E55" s="7" t="n">
        <v>18450000</v>
      </c>
      <c r="F55" s="9" t="n">
        <v>0.5</v>
      </c>
    </row>
    <row r="56">
      <c r="A56" t="n">
        <v>51</v>
      </c>
      <c r="B56" t="n">
        <v>865</v>
      </c>
      <c r="C56" s="5">
        <f>IF($A$3="","-",$A$3+B56)</f>
        <v/>
      </c>
      <c r="D56" t="n">
        <v>369000</v>
      </c>
      <c r="E56" t="n">
        <v>18819000</v>
      </c>
      <c r="F56" s="6" t="n">
        <v>0.51</v>
      </c>
    </row>
    <row r="57">
      <c r="A57" t="n">
        <v>52</v>
      </c>
      <c r="B57" t="n">
        <v>875</v>
      </c>
      <c r="C57" s="5">
        <f>IF($A$3="","-",$A$3+B57)</f>
        <v/>
      </c>
      <c r="D57" t="n">
        <v>369000</v>
      </c>
      <c r="E57" t="n">
        <v>19188000</v>
      </c>
      <c r="F57" s="6" t="n">
        <v>0.52</v>
      </c>
    </row>
    <row r="58">
      <c r="A58" t="n">
        <v>53</v>
      </c>
      <c r="B58" t="n">
        <v>885</v>
      </c>
      <c r="C58" s="5">
        <f>IF($A$3="","-",$A$3+B58)</f>
        <v/>
      </c>
      <c r="D58" t="n">
        <v>369000</v>
      </c>
      <c r="E58" t="n">
        <v>19557000</v>
      </c>
      <c r="F58" s="6" t="n">
        <v>0.53</v>
      </c>
    </row>
    <row r="59">
      <c r="A59" t="n">
        <v>54</v>
      </c>
      <c r="B59" t="n">
        <v>895</v>
      </c>
      <c r="C59" s="5">
        <f>IF($A$3="","-",$A$3+B59)</f>
        <v/>
      </c>
      <c r="D59" t="n">
        <v>369000</v>
      </c>
      <c r="E59" t="n">
        <v>19926000</v>
      </c>
      <c r="F59" s="6" t="n">
        <v>0.54</v>
      </c>
    </row>
    <row r="60">
      <c r="A60" t="n">
        <v>55</v>
      </c>
      <c r="B60" t="n">
        <v>905</v>
      </c>
      <c r="C60" s="5">
        <f>IF($A$3="","-",$A$3+B60)</f>
        <v/>
      </c>
      <c r="D60" t="n">
        <v>369000</v>
      </c>
      <c r="E60" t="n">
        <v>20295000</v>
      </c>
      <c r="F60" s="6" t="n">
        <v>0.55</v>
      </c>
    </row>
    <row r="61">
      <c r="A61" t="n">
        <v>56</v>
      </c>
      <c r="B61" t="n">
        <v>915</v>
      </c>
      <c r="C61" s="5">
        <f>IF($A$3="","-",$A$3+B61)</f>
        <v/>
      </c>
      <c r="D61" t="n">
        <v>369000</v>
      </c>
      <c r="E61" t="n">
        <v>20664000</v>
      </c>
      <c r="F61" s="6" t="n">
        <v>0.5600000000000001</v>
      </c>
    </row>
    <row r="62">
      <c r="A62" t="n">
        <v>57</v>
      </c>
      <c r="B62" t="n">
        <v>925</v>
      </c>
      <c r="C62" s="5">
        <f>IF($A$3="","-",$A$3+B62)</f>
        <v/>
      </c>
      <c r="D62" t="n">
        <v>369000</v>
      </c>
      <c r="E62" t="n">
        <v>21033000</v>
      </c>
      <c r="F62" s="6" t="n">
        <v>0.57</v>
      </c>
    </row>
    <row r="63">
      <c r="A63" t="n">
        <v>58</v>
      </c>
      <c r="B63" t="n">
        <v>935</v>
      </c>
      <c r="C63" s="5">
        <f>IF($A$3="","-",$A$3+B63)</f>
        <v/>
      </c>
      <c r="D63" t="n">
        <v>369000</v>
      </c>
      <c r="E63" t="n">
        <v>21402000</v>
      </c>
      <c r="F63" s="6" t="n">
        <v>0.58</v>
      </c>
    </row>
    <row r="64">
      <c r="A64" t="n">
        <v>59</v>
      </c>
      <c r="B64" t="n">
        <v>945</v>
      </c>
      <c r="C64" s="5">
        <f>IF($A$3="","-",$A$3+B64)</f>
        <v/>
      </c>
      <c r="D64" t="n">
        <v>369000</v>
      </c>
      <c r="E64" t="n">
        <v>21771000</v>
      </c>
      <c r="F64" s="6" t="n">
        <v>0.59</v>
      </c>
    </row>
    <row r="65">
      <c r="A65" t="n">
        <v>60</v>
      </c>
      <c r="B65" t="n">
        <v>955</v>
      </c>
      <c r="C65" s="5">
        <f>IF($A$3="","-",$A$3+B65)</f>
        <v/>
      </c>
      <c r="D65" t="n">
        <v>369000</v>
      </c>
      <c r="E65" t="n">
        <v>22140000</v>
      </c>
      <c r="F65" s="6" t="n">
        <v>0.6</v>
      </c>
    </row>
    <row r="66">
      <c r="A66" t="n">
        <v>61</v>
      </c>
      <c r="B66" t="n">
        <v>965</v>
      </c>
      <c r="C66" s="5">
        <f>IF($A$3="","-",$A$3+B66)</f>
        <v/>
      </c>
      <c r="D66" t="n">
        <v>369000</v>
      </c>
      <c r="E66" t="n">
        <v>22509000</v>
      </c>
      <c r="F66" s="6" t="n">
        <v>0.61</v>
      </c>
    </row>
    <row r="67">
      <c r="A67" t="n">
        <v>62</v>
      </c>
      <c r="B67" t="n">
        <v>975</v>
      </c>
      <c r="C67" s="5">
        <f>IF($A$3="","-",$A$3+B67)</f>
        <v/>
      </c>
      <c r="D67" t="n">
        <v>369000</v>
      </c>
      <c r="E67" t="n">
        <v>22878000</v>
      </c>
      <c r="F67" s="6" t="n">
        <v>0.62</v>
      </c>
    </row>
    <row r="68">
      <c r="A68" t="n">
        <v>63</v>
      </c>
      <c r="B68" t="n">
        <v>985</v>
      </c>
      <c r="C68" s="5">
        <f>IF($A$3="","-",$A$3+B68)</f>
        <v/>
      </c>
      <c r="D68" t="n">
        <v>369000</v>
      </c>
      <c r="E68" t="n">
        <v>23247000</v>
      </c>
      <c r="F68" s="6" t="n">
        <v>0.63</v>
      </c>
    </row>
    <row r="69">
      <c r="A69" t="n">
        <v>64</v>
      </c>
      <c r="B69" t="n">
        <v>995</v>
      </c>
      <c r="C69" s="5">
        <f>IF($A$3="","-",$A$3+B69)</f>
        <v/>
      </c>
      <c r="D69" t="n">
        <v>369000</v>
      </c>
      <c r="E69" t="n">
        <v>23616000</v>
      </c>
      <c r="F69" s="6" t="n">
        <v>0.64</v>
      </c>
    </row>
    <row r="70">
      <c r="A70" t="n">
        <v>65</v>
      </c>
      <c r="B70" t="n">
        <v>1005</v>
      </c>
      <c r="C70" s="5">
        <f>IF($A$3="","-",$A$3+B70)</f>
        <v/>
      </c>
      <c r="D70" t="n">
        <v>369000</v>
      </c>
      <c r="E70" t="n">
        <v>23985000</v>
      </c>
      <c r="F70" s="6" t="n">
        <v>0.65</v>
      </c>
    </row>
    <row r="71">
      <c r="A71" t="n">
        <v>66</v>
      </c>
      <c r="B71" t="n">
        <v>1015</v>
      </c>
      <c r="C71" s="5">
        <f>IF($A$3="","-",$A$3+B71)</f>
        <v/>
      </c>
      <c r="D71" t="n">
        <v>369000</v>
      </c>
      <c r="E71" t="n">
        <v>24354000</v>
      </c>
      <c r="F71" s="6" t="n">
        <v>0.66</v>
      </c>
    </row>
    <row r="72">
      <c r="A72" t="n">
        <v>67</v>
      </c>
      <c r="B72" t="n">
        <v>1025</v>
      </c>
      <c r="C72" s="5">
        <f>IF($A$3="","-",$A$3+B72)</f>
        <v/>
      </c>
      <c r="D72" t="n">
        <v>369000</v>
      </c>
      <c r="E72" t="n">
        <v>24723000</v>
      </c>
      <c r="F72" s="6" t="n">
        <v>0.67</v>
      </c>
    </row>
    <row r="73">
      <c r="A73" t="n">
        <v>68</v>
      </c>
      <c r="B73" t="n">
        <v>1035</v>
      </c>
      <c r="C73" s="5">
        <f>IF($A$3="","-",$A$3+B73)</f>
        <v/>
      </c>
      <c r="D73" t="n">
        <v>369000</v>
      </c>
      <c r="E73" t="n">
        <v>25092000</v>
      </c>
      <c r="F73" s="6" t="n">
        <v>0.68</v>
      </c>
    </row>
    <row r="74">
      <c r="A74" t="n">
        <v>69</v>
      </c>
      <c r="B74" t="n">
        <v>1045</v>
      </c>
      <c r="C74" s="5">
        <f>IF($A$3="","-",$A$3+B74)</f>
        <v/>
      </c>
      <c r="D74" t="n">
        <v>369000</v>
      </c>
      <c r="E74" t="n">
        <v>25461000</v>
      </c>
      <c r="F74" s="6" t="n">
        <v>0.6899999999999999</v>
      </c>
    </row>
    <row r="75">
      <c r="A75" t="n">
        <v>70</v>
      </c>
      <c r="B75" t="n">
        <v>1055</v>
      </c>
      <c r="C75" s="5">
        <f>IF($A$3="","-",$A$3+B75)</f>
        <v/>
      </c>
      <c r="D75" t="n">
        <v>369000</v>
      </c>
      <c r="E75" t="n">
        <v>25830000</v>
      </c>
      <c r="F75" s="6" t="n">
        <v>0.7</v>
      </c>
    </row>
    <row r="76">
      <c r="A76" t="n">
        <v>71</v>
      </c>
      <c r="B76" t="n">
        <v>1065</v>
      </c>
      <c r="C76" s="5">
        <f>IF($A$3="","-",$A$3+B76)</f>
        <v/>
      </c>
      <c r="D76" t="n">
        <v>369000</v>
      </c>
      <c r="E76" t="n">
        <v>26199000</v>
      </c>
      <c r="F76" s="6" t="n">
        <v>0.71</v>
      </c>
    </row>
    <row r="77">
      <c r="A77" t="n">
        <v>72</v>
      </c>
      <c r="B77" t="n">
        <v>1075</v>
      </c>
      <c r="C77" s="5">
        <f>IF($A$3="","-",$A$3+B77)</f>
        <v/>
      </c>
      <c r="D77" t="n">
        <v>369000</v>
      </c>
      <c r="E77" t="n">
        <v>26568000</v>
      </c>
      <c r="F77" s="6" t="n">
        <v>0.72</v>
      </c>
    </row>
    <row r="78">
      <c r="A78" t="n">
        <v>73</v>
      </c>
      <c r="B78" t="n">
        <v>1085</v>
      </c>
      <c r="C78" s="5">
        <f>IF($A$3="","-",$A$3+B78)</f>
        <v/>
      </c>
      <c r="D78" t="n">
        <v>369000</v>
      </c>
      <c r="E78" t="n">
        <v>26937000</v>
      </c>
      <c r="F78" s="6" t="n">
        <v>0.73</v>
      </c>
    </row>
    <row r="79">
      <c r="A79" t="n">
        <v>74</v>
      </c>
      <c r="B79" t="n">
        <v>1095</v>
      </c>
      <c r="C79" s="5">
        <f>IF($A$3="","-",$A$3+B79)</f>
        <v/>
      </c>
      <c r="D79" t="n">
        <v>369000</v>
      </c>
      <c r="E79" t="n">
        <v>27306000</v>
      </c>
      <c r="F79" s="6" t="n">
        <v>0.74</v>
      </c>
    </row>
    <row r="80">
      <c r="A80" s="7" t="n">
        <v>75</v>
      </c>
      <c r="B80" s="7" t="n">
        <v>1105</v>
      </c>
      <c r="C80" s="8">
        <f>IF($A$3="","-",$A$3+B80)</f>
        <v/>
      </c>
      <c r="D80" s="7" t="n">
        <v>369000</v>
      </c>
      <c r="E80" s="7" t="n">
        <v>27675000</v>
      </c>
      <c r="F80" s="9" t="n">
        <v>0.75</v>
      </c>
    </row>
    <row r="81">
      <c r="A81" t="n">
        <v>76</v>
      </c>
      <c r="B81" t="n">
        <v>1115</v>
      </c>
      <c r="C81" s="5">
        <f>IF($A$3="","-",$A$3+B81)</f>
        <v/>
      </c>
      <c r="D81" t="n">
        <v>369000</v>
      </c>
      <c r="E81" t="n">
        <v>28044000</v>
      </c>
      <c r="F81" s="6" t="n">
        <v>0.76</v>
      </c>
    </row>
    <row r="82">
      <c r="A82" t="n">
        <v>77</v>
      </c>
      <c r="B82" t="n">
        <v>1125</v>
      </c>
      <c r="C82" s="5">
        <f>IF($A$3="","-",$A$3+B82)</f>
        <v/>
      </c>
      <c r="D82" t="n">
        <v>369000</v>
      </c>
      <c r="E82" t="n">
        <v>28413000</v>
      </c>
      <c r="F82" s="6" t="n">
        <v>0.77</v>
      </c>
    </row>
    <row r="83">
      <c r="A83" t="n">
        <v>78</v>
      </c>
      <c r="B83" t="n">
        <v>1135</v>
      </c>
      <c r="C83" s="5">
        <f>IF($A$3="","-",$A$3+B83)</f>
        <v/>
      </c>
      <c r="D83" t="n">
        <v>369000</v>
      </c>
      <c r="E83" t="n">
        <v>28782000</v>
      </c>
      <c r="F83" s="6" t="n">
        <v>0.78</v>
      </c>
    </row>
    <row r="84">
      <c r="A84" t="n">
        <v>79</v>
      </c>
      <c r="B84" t="n">
        <v>1145</v>
      </c>
      <c r="C84" s="5">
        <f>IF($A$3="","-",$A$3+B84)</f>
        <v/>
      </c>
      <c r="D84" t="n">
        <v>369000</v>
      </c>
      <c r="E84" t="n">
        <v>29151000</v>
      </c>
      <c r="F84" s="6" t="n">
        <v>0.79</v>
      </c>
    </row>
    <row r="85">
      <c r="A85" t="n">
        <v>80</v>
      </c>
      <c r="B85" t="n">
        <v>1155</v>
      </c>
      <c r="C85" s="5">
        <f>IF($A$3="","-",$A$3+B85)</f>
        <v/>
      </c>
      <c r="D85" t="n">
        <v>369000</v>
      </c>
      <c r="E85" t="n">
        <v>29520000</v>
      </c>
      <c r="F85" s="6" t="n">
        <v>0.8</v>
      </c>
    </row>
    <row r="86">
      <c r="A86" t="n">
        <v>81</v>
      </c>
      <c r="B86" t="n">
        <v>1165</v>
      </c>
      <c r="C86" s="5">
        <f>IF($A$3="","-",$A$3+B86)</f>
        <v/>
      </c>
      <c r="D86" t="n">
        <v>369000</v>
      </c>
      <c r="E86" t="n">
        <v>29889000</v>
      </c>
      <c r="F86" s="6" t="n">
        <v>0.8100000000000001</v>
      </c>
    </row>
    <row r="87">
      <c r="A87" t="n">
        <v>82</v>
      </c>
      <c r="B87" t="n">
        <v>1175</v>
      </c>
      <c r="C87" s="5">
        <f>IF($A$3="","-",$A$3+B87)</f>
        <v/>
      </c>
      <c r="D87" t="n">
        <v>369000</v>
      </c>
      <c r="E87" t="n">
        <v>30258000</v>
      </c>
      <c r="F87" s="6" t="n">
        <v>0.82</v>
      </c>
    </row>
    <row r="88">
      <c r="A88" t="n">
        <v>83</v>
      </c>
      <c r="B88" t="n">
        <v>1185</v>
      </c>
      <c r="C88" s="5">
        <f>IF($A$3="","-",$A$3+B88)</f>
        <v/>
      </c>
      <c r="D88" t="n">
        <v>369000</v>
      </c>
      <c r="E88" t="n">
        <v>30627000</v>
      </c>
      <c r="F88" s="6" t="n">
        <v>0.83</v>
      </c>
    </row>
    <row r="89">
      <c r="A89" t="n">
        <v>84</v>
      </c>
      <c r="B89" t="n">
        <v>1195</v>
      </c>
      <c r="C89" s="5">
        <f>IF($A$3="","-",$A$3+B89)</f>
        <v/>
      </c>
      <c r="D89" t="n">
        <v>369000</v>
      </c>
      <c r="E89" t="n">
        <v>30996000</v>
      </c>
      <c r="F89" s="6" t="n">
        <v>0.84</v>
      </c>
    </row>
    <row r="90">
      <c r="A90" t="n">
        <v>85</v>
      </c>
      <c r="B90" t="n">
        <v>1205</v>
      </c>
      <c r="C90" s="5">
        <f>IF($A$3="","-",$A$3+B90)</f>
        <v/>
      </c>
      <c r="D90" t="n">
        <v>369000</v>
      </c>
      <c r="E90" t="n">
        <v>31365000</v>
      </c>
      <c r="F90" s="6" t="n">
        <v>0.85</v>
      </c>
    </row>
    <row r="91">
      <c r="A91" t="n">
        <v>86</v>
      </c>
      <c r="B91" t="n">
        <v>1215</v>
      </c>
      <c r="C91" s="5">
        <f>IF($A$3="","-",$A$3+B91)</f>
        <v/>
      </c>
      <c r="D91" t="n">
        <v>369000</v>
      </c>
      <c r="E91" t="n">
        <v>31734000</v>
      </c>
      <c r="F91" s="6" t="n">
        <v>0.86</v>
      </c>
    </row>
    <row r="92">
      <c r="A92" t="n">
        <v>87</v>
      </c>
      <c r="B92" t="n">
        <v>1225</v>
      </c>
      <c r="C92" s="5">
        <f>IF($A$3="","-",$A$3+B92)</f>
        <v/>
      </c>
      <c r="D92" t="n">
        <v>369000</v>
      </c>
      <c r="E92" t="n">
        <v>32103000</v>
      </c>
      <c r="F92" s="6" t="n">
        <v>0.87</v>
      </c>
    </row>
    <row r="93">
      <c r="A93" t="n">
        <v>88</v>
      </c>
      <c r="B93" t="n">
        <v>1235</v>
      </c>
      <c r="C93" s="5">
        <f>IF($A$3="","-",$A$3+B93)</f>
        <v/>
      </c>
      <c r="D93" t="n">
        <v>369000</v>
      </c>
      <c r="E93" t="n">
        <v>32472000</v>
      </c>
      <c r="F93" s="6" t="n">
        <v>0.88</v>
      </c>
    </row>
    <row r="94">
      <c r="A94" t="n">
        <v>89</v>
      </c>
      <c r="B94" t="n">
        <v>1245</v>
      </c>
      <c r="C94" s="5">
        <f>IF($A$3="","-",$A$3+B94)</f>
        <v/>
      </c>
      <c r="D94" t="n">
        <v>369000</v>
      </c>
      <c r="E94" t="n">
        <v>32841000</v>
      </c>
      <c r="F94" s="6" t="n">
        <v>0.89</v>
      </c>
    </row>
    <row r="95">
      <c r="A95" t="n">
        <v>90</v>
      </c>
      <c r="B95" t="n">
        <v>1255</v>
      </c>
      <c r="C95" s="5">
        <f>IF($A$3="","-",$A$3+B95)</f>
        <v/>
      </c>
      <c r="D95" t="n">
        <v>369000</v>
      </c>
      <c r="E95" t="n">
        <v>33210000</v>
      </c>
      <c r="F95" s="6" t="n">
        <v>0.9</v>
      </c>
    </row>
    <row r="96">
      <c r="A96" t="n">
        <v>91</v>
      </c>
      <c r="B96" t="n">
        <v>1265</v>
      </c>
      <c r="C96" s="5">
        <f>IF($A$3="","-",$A$3+B96)</f>
        <v/>
      </c>
      <c r="D96" t="n">
        <v>369000</v>
      </c>
      <c r="E96" t="n">
        <v>33579000</v>
      </c>
      <c r="F96" s="6" t="n">
        <v>0.91</v>
      </c>
    </row>
    <row r="97">
      <c r="A97" t="n">
        <v>92</v>
      </c>
      <c r="B97" t="n">
        <v>1275</v>
      </c>
      <c r="C97" s="5">
        <f>IF($A$3="","-",$A$3+B97)</f>
        <v/>
      </c>
      <c r="D97" t="n">
        <v>369000</v>
      </c>
      <c r="E97" t="n">
        <v>33948000</v>
      </c>
      <c r="F97" s="6" t="n">
        <v>0.92</v>
      </c>
    </row>
    <row r="98">
      <c r="A98" t="n">
        <v>93</v>
      </c>
      <c r="B98" t="n">
        <v>1285</v>
      </c>
      <c r="C98" s="5">
        <f>IF($A$3="","-",$A$3+B98)</f>
        <v/>
      </c>
      <c r="D98" t="n">
        <v>369000</v>
      </c>
      <c r="E98" t="n">
        <v>34317000</v>
      </c>
      <c r="F98" s="6" t="n">
        <v>0.93</v>
      </c>
    </row>
    <row r="99">
      <c r="A99" t="n">
        <v>94</v>
      </c>
      <c r="B99" t="n">
        <v>1295</v>
      </c>
      <c r="C99" s="5">
        <f>IF($A$3="","-",$A$3+B99)</f>
        <v/>
      </c>
      <c r="D99" t="n">
        <v>369000</v>
      </c>
      <c r="E99" t="n">
        <v>34686000</v>
      </c>
      <c r="F99" s="6" t="n">
        <v>0.9399999999999999</v>
      </c>
    </row>
    <row r="100">
      <c r="A100" t="n">
        <v>95</v>
      </c>
      <c r="B100" t="n">
        <v>1305</v>
      </c>
      <c r="C100" s="5">
        <f>IF($A$3="","-",$A$3+B100)</f>
        <v/>
      </c>
      <c r="D100" t="n">
        <v>369000</v>
      </c>
      <c r="E100" t="n">
        <v>35055000</v>
      </c>
      <c r="F100" s="6" t="n">
        <v>0.95</v>
      </c>
    </row>
    <row r="101">
      <c r="A101" t="n">
        <v>96</v>
      </c>
      <c r="B101" t="n">
        <v>1315</v>
      </c>
      <c r="C101" s="5">
        <f>IF($A$3="","-",$A$3+B101)</f>
        <v/>
      </c>
      <c r="D101" t="n">
        <v>369000</v>
      </c>
      <c r="E101" t="n">
        <v>35424000</v>
      </c>
      <c r="F101" s="6" t="n">
        <v>0.96</v>
      </c>
    </row>
    <row r="102">
      <c r="A102" t="n">
        <v>97</v>
      </c>
      <c r="B102" t="n">
        <v>1325</v>
      </c>
      <c r="C102" s="5">
        <f>IF($A$3="","-",$A$3+B102)</f>
        <v/>
      </c>
      <c r="D102" t="n">
        <v>369000</v>
      </c>
      <c r="E102" t="n">
        <v>35793000</v>
      </c>
      <c r="F102" s="6" t="n">
        <v>0.97</v>
      </c>
    </row>
    <row r="103">
      <c r="A103" t="n">
        <v>98</v>
      </c>
      <c r="B103" t="n">
        <v>1335</v>
      </c>
      <c r="C103" s="5">
        <f>IF($A$3="","-",$A$3+B103)</f>
        <v/>
      </c>
      <c r="D103" t="n">
        <v>369000</v>
      </c>
      <c r="E103" t="n">
        <v>36162000</v>
      </c>
      <c r="F103" s="6" t="n">
        <v>0.98</v>
      </c>
    </row>
    <row r="104">
      <c r="A104" t="n">
        <v>99</v>
      </c>
      <c r="B104" t="n">
        <v>1345</v>
      </c>
      <c r="C104" s="5">
        <f>IF($A$3="","-",$A$3+B104)</f>
        <v/>
      </c>
      <c r="D104" t="n">
        <v>369000</v>
      </c>
      <c r="E104" t="n">
        <v>36531000</v>
      </c>
      <c r="F104" s="6" t="n">
        <v>0.99</v>
      </c>
    </row>
    <row r="105">
      <c r="A105" s="7" t="n">
        <v>100</v>
      </c>
      <c r="B105" s="7" t="n">
        <v>1355</v>
      </c>
      <c r="C105" s="8">
        <f>IF($A$3="","-",$A$3+B105)</f>
        <v/>
      </c>
      <c r="D105" s="7" t="n">
        <v>369000</v>
      </c>
      <c r="E105" s="7" t="n">
        <v>36900000</v>
      </c>
      <c r="F105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Community lock — rules (as instructed)</t>
        </is>
      </c>
    </row>
    <row r="3">
      <c r="A3" s="2" t="inlineStr">
        <is>
          <t>Rule</t>
        </is>
      </c>
      <c r="B3" s="2" t="inlineStr">
        <is>
          <t>Detail</t>
        </is>
      </c>
    </row>
    <row r="4">
      <c r="A4" t="inlineStr">
        <is>
          <t>Allocation</t>
        </is>
      </c>
      <c r="B4" t="inlineStr">
        <is>
          <t>184,500,000 ¥ (50% of supply)</t>
        </is>
      </c>
    </row>
    <row r="5">
      <c r="A5" t="inlineStr">
        <is>
          <t>Distribution</t>
        </is>
      </c>
      <c r="B5" t="inlineStr">
        <is>
          <t>Free to members — no money taken from anyone</t>
        </is>
      </c>
    </row>
    <row r="6">
      <c r="A6" t="inlineStr">
        <is>
          <t>Lock period</t>
        </is>
      </c>
      <c r="B6" t="inlineStr">
        <is>
          <t>180 days from launch date — nothing can be claimed</t>
        </is>
      </c>
    </row>
    <row r="7">
      <c r="A7" t="inlineStr">
        <is>
          <t>Approval</t>
        </is>
      </c>
      <c r="B7" t="inlineStr">
        <is>
          <t>After day 180, release happens ONLY with the owner's approval (per member or all)</t>
        </is>
      </c>
    </row>
    <row r="8">
      <c r="A8" t="inlineStr">
        <is>
          <t>Ledger</t>
        </is>
      </c>
      <c r="B8" t="inlineStr">
        <is>
          <t>Member ID + share recorded first; wallet address linked later</t>
        </is>
      </c>
    </row>
    <row r="9">
      <c r="A9" t="inlineStr">
        <is>
          <t>One wallet rule</t>
        </is>
      </c>
      <c r="B9" t="inlineStr">
        <is>
          <t>1 member = 1 wallet; multiple addresses can be merged before day 180, then permanently locked</t>
        </is>
      </c>
    </row>
    <row r="10">
      <c r="A10" t="inlineStr">
        <is>
          <t>Vested pool</t>
        </is>
      </c>
      <c r="B10" t="inlineStr">
        <is>
          <t>221,400,000 ¥ locked at launch (community + team)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56" customWidth="1" min="4" max="4"/>
  </cols>
  <sheetData>
    <row r="1">
      <c r="A1" s="3" t="inlineStr">
        <is>
          <t>BITFIRST — launch readiness (non-Netlify)</t>
        </is>
      </c>
    </row>
    <row r="3">
      <c r="A3" s="2" t="inlineStr">
        <is>
          <t>#</t>
        </is>
      </c>
      <c r="B3" s="2" t="inlineStr">
        <is>
          <t>Workstream</t>
        </is>
      </c>
      <c r="C3" s="2" t="inlineStr">
        <is>
          <t>Status</t>
        </is>
      </c>
      <c r="D3" s="2" t="inlineStr">
        <is>
          <t>What is needed</t>
        </is>
      </c>
    </row>
    <row r="4">
      <c r="A4" t="n">
        <v>1</v>
      </c>
      <c r="B4" t="inlineStr">
        <is>
          <t>Tokenomics locked (50/10/10/10/10/10)</t>
        </is>
      </c>
      <c r="C4" t="inlineStr">
        <is>
          <t>DONE — this sheet</t>
        </is>
      </c>
      <c r="D4" t="inlineStr">
        <is>
          <t>Numbers frozen; nothing else should change</t>
        </is>
      </c>
    </row>
    <row r="5">
      <c r="A5" t="n">
        <v>2</v>
      </c>
      <c r="B5" t="inlineStr">
        <is>
          <t>Token contract BITFIRST.sol</t>
        </is>
      </c>
      <c r="C5" t="inlineStr">
        <is>
          <t>BUILT + TESTED locally</t>
        </is>
      </c>
      <c r="D5" t="inlineStr">
        <is>
          <t>Re-confirm it matches this split; freeze bytecode/hash</t>
        </is>
      </c>
    </row>
    <row r="6">
      <c r="A6" t="n">
        <v>3</v>
      </c>
      <c r="B6" t="inlineStr">
        <is>
          <t>Vault contracts (Community / Team)</t>
        </is>
      </c>
      <c r="C6" t="inlineStr">
        <is>
          <t>BUILT + TESTED locally</t>
        </is>
      </c>
      <c r="D6" t="inlineStr">
        <is>
          <t>Test full claim flow on testnet</t>
        </is>
      </c>
    </row>
    <row r="7">
      <c r="A7" t="n">
        <v>4</v>
      </c>
      <c r="B7" t="inlineStr">
        <is>
          <t>Whitepaper</t>
        </is>
      </c>
      <c r="C7" t="inlineStr">
        <is>
          <t>STALE — built on the old 60/20/10/10 split</t>
        </is>
      </c>
      <c r="D7" t="inlineStr">
        <is>
          <t>Refresh to 50/10/10/10/10/10 (next step)</t>
        </is>
      </c>
    </row>
    <row r="8">
      <c r="A8" t="n">
        <v>5</v>
      </c>
      <c r="B8" t="inlineStr">
        <is>
          <t>Member app (English)</t>
        </is>
      </c>
      <c r="C8" t="inlineStr">
        <is>
          <t>DONE</t>
        </is>
      </c>
      <c r="D8" t="inlineStr">
        <is>
          <t>Deploy on Netlify for a permanent link</t>
        </is>
      </c>
    </row>
    <row r="9">
      <c r="A9" t="n">
        <v>6</v>
      </c>
      <c r="B9" t="inlineStr">
        <is>
          <t>BscScan testnet deploy + verify</t>
        </is>
      </c>
      <c r="C9" t="inlineStr">
        <is>
          <t>PENDING</t>
        </is>
      </c>
      <c r="D9" t="inlineStr">
        <is>
          <t>Your MetaMask + free tBNB (no real money)</t>
        </is>
      </c>
    </row>
    <row r="10">
      <c r="A10" t="n">
        <v>7</v>
      </c>
      <c r="B10" t="inlineStr">
        <is>
          <t>Mainnet deploy + verify</t>
        </is>
      </c>
      <c r="C10" t="inlineStr">
        <is>
          <t>PENDING</t>
        </is>
      </c>
      <c r="D10" t="inlineStr">
        <is>
          <t>Small gas fee (BNB)</t>
        </is>
      </c>
    </row>
    <row r="11">
      <c r="A11" t="n">
        <v>8</v>
      </c>
      <c r="B11" t="inlineStr">
        <is>
          <t>Liquidity pool (PancakeSwap)</t>
        </is>
      </c>
      <c r="C11" t="inlineStr">
        <is>
          <t>PENDING</t>
        </is>
      </c>
      <c r="D11" t="inlineStr">
        <is>
          <t>Real money — the biggest cost</t>
        </is>
      </c>
    </row>
    <row r="12">
      <c r="A12" t="n">
        <v>9</v>
      </c>
      <c r="B12" t="inlineStr">
        <is>
          <t>Legal / compliance (India)</t>
        </is>
      </c>
      <c r="C12" t="inlineStr">
        <is>
          <t>PENDING</t>
        </is>
      </c>
      <c r="D12" t="inlineStr">
        <is>
          <t>FIU-IND / PMLA position; charity + school claims need care</t>
        </is>
      </c>
    </row>
    <row r="13">
      <c r="A13" t="n">
        <v>10</v>
      </c>
      <c r="B13" t="inlineStr">
        <is>
          <t>Listing pack (DexScreener / CoinGecko / CMC)</t>
        </is>
      </c>
      <c r="C13" t="inlineStr">
        <is>
          <t>PENDING</t>
        </is>
      </c>
      <c r="D13" t="inlineStr">
        <is>
          <t>Only possible after the contract is live+verified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2026-10-08T06:10:22Z</dcterms:created>
  <dcterms:modified xmlns:dcterms="http://purl.org/dc/terms/" xmlns:xsi="http://www.w3.org/2001/XMLSchema-instance" xsi:type="dcterms:W3CDTF">2026-10-08T06:10:22Z</dcterms:modified>
</cp:coreProperties>
</file>